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1-Task1 Top Cuisines" sheetId="1" state="visible" r:id="rId3"/>
    <sheet name="L1-Task2 City Analysis" sheetId="2" state="visible" r:id="rId4"/>
    <sheet name="L1-Task3 Price Range" sheetId="3" state="visible" r:id="rId5"/>
    <sheet name="L1-Task4 Online Delivery" sheetId="4" state="visible" r:id="rId6"/>
    <sheet name="L2-Task1 Ratings" sheetId="5" state="visible" r:id="rId7"/>
    <sheet name="L2-Task2 Cuisine Combos" sheetId="6" state="visible" r:id="rId8"/>
    <sheet name="L2-Task4 Chai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<sst xmlns="http://schemas.openxmlformats.org/spreadsheetml/2006/main" count="96" uniqueCount="81">
  <si>
    <t xml:space="preserve">Level 1 - Task 1: Top Cuisines Analysis</t>
  </si>
  <si>
    <t xml:space="preserve">Rank</t>
  </si>
  <si>
    <t xml:space="preserve">Cuisine</t>
  </si>
  <si>
    <t xml:space="preserve">Count</t>
  </si>
  <si>
    <t xml:space="preserve">% of Restaurants</t>
  </si>
  <si>
    <t xml:space="preserve">North Indian</t>
  </si>
  <si>
    <t xml:space="preserve">Chinese</t>
  </si>
  <si>
    <t xml:space="preserve">Fast Food</t>
  </si>
  <si>
    <t xml:space="preserve">Level 1 - Task 2: City Analysis</t>
  </si>
  <si>
    <t xml:space="preserve">City with Most Restaurants</t>
  </si>
  <si>
    <t xml:space="preserve">New Delhi</t>
  </si>
  <si>
    <t xml:space="preserve">Restaurant Count</t>
  </si>
  <si>
    <t xml:space="preserve">City with Highest Avg Rating</t>
  </si>
  <si>
    <t xml:space="preserve">Inner City</t>
  </si>
  <si>
    <t xml:space="preserve">Highest Avg Rating</t>
  </si>
  <si>
    <t xml:space="preserve">City</t>
  </si>
  <si>
    <t xml:space="preserve">No. of Restaurants</t>
  </si>
  <si>
    <t xml:space="preserve">Avg Rating</t>
  </si>
  <si>
    <t xml:space="preserve">Gurgaon</t>
  </si>
  <si>
    <t xml:space="preserve">Noida</t>
  </si>
  <si>
    <t xml:space="preserve">Faridabad</t>
  </si>
  <si>
    <t xml:space="preserve">Ghaziabad</t>
  </si>
  <si>
    <t xml:space="preserve">Ahmedabad</t>
  </si>
  <si>
    <t xml:space="preserve">Amritsar</t>
  </si>
  <si>
    <t xml:space="preserve">Bhubaneshwar</t>
  </si>
  <si>
    <t xml:space="preserve">Guwahati</t>
  </si>
  <si>
    <t xml:space="preserve">Lucknow</t>
  </si>
  <si>
    <t xml:space="preserve">Level 1 - Task 3: Price Range Distribution</t>
  </si>
  <si>
    <t xml:space="preserve">Price Range</t>
  </si>
  <si>
    <t xml:space="preserve">Category</t>
  </si>
  <si>
    <t xml:space="preserve">Budget (1)</t>
  </si>
  <si>
    <t xml:space="preserve">Moderate (2)</t>
  </si>
  <si>
    <t xml:space="preserve">Expensive (3)</t>
  </si>
  <si>
    <t xml:space="preserve">Very Expensive (4)</t>
  </si>
  <si>
    <t xml:space="preserve">Level 1 - Task 4: Online Delivery Analysis</t>
  </si>
  <si>
    <t xml:space="preserve">Online Delivery</t>
  </si>
  <si>
    <t xml:space="preserve">% of Total</t>
  </si>
  <si>
    <t xml:space="preserve">No</t>
  </si>
  <si>
    <t xml:space="preserve">Yes</t>
  </si>
  <si>
    <t xml:space="preserve">Level 2 - Task 1: Restaurant Ratings Distribution</t>
  </si>
  <si>
    <t xml:space="preserve">Average Votes per Restaurant</t>
  </si>
  <si>
    <t xml:space="preserve">Rating Range</t>
  </si>
  <si>
    <t xml:space="preserve">0-1</t>
  </si>
  <si>
    <t xml:space="preserve">1-2</t>
  </si>
  <si>
    <t xml:space="preserve">2-3</t>
  </si>
  <si>
    <t xml:space="preserve">3-4</t>
  </si>
  <si>
    <t xml:space="preserve">4-5</t>
  </si>
  <si>
    <t xml:space="preserve">Level 2 - Task 2: Cuisine Combinations Analysis</t>
  </si>
  <si>
    <t xml:space="preserve">Cuisine Combination</t>
  </si>
  <si>
    <t xml:space="preserve">North Indian, Chinese</t>
  </si>
  <si>
    <t xml:space="preserve">North Indian, Mughlai</t>
  </si>
  <si>
    <t xml:space="preserve">Cafe</t>
  </si>
  <si>
    <t xml:space="preserve">Bakery</t>
  </si>
  <si>
    <t xml:space="preserve">North Indian, Mughlai, Chinese</t>
  </si>
  <si>
    <t xml:space="preserve">Bakery, Desserts</t>
  </si>
  <si>
    <t xml:space="preserve">Street Food</t>
  </si>
  <si>
    <t xml:space="preserve">Pizza, Fast Food</t>
  </si>
  <si>
    <t xml:space="preserve">Chinese, Fast Food</t>
  </si>
  <si>
    <t xml:space="preserve">Mithai, Street Food</t>
  </si>
  <si>
    <t xml:space="preserve">South Indian</t>
  </si>
  <si>
    <t xml:space="preserve">Bakery, Fast Food</t>
  </si>
  <si>
    <t xml:space="preserve">Level 2 - Task 4: Restaurant Chains Analysis</t>
  </si>
  <si>
    <t xml:space="preserve">Total Restaurant Chains Found: 734</t>
  </si>
  <si>
    <t xml:space="preserve">Restaurant Chain</t>
  </si>
  <si>
    <t xml:space="preserve">Outlets</t>
  </si>
  <si>
    <t xml:space="preserve">Total Votes</t>
  </si>
  <si>
    <t xml:space="preserve">Cafe Coffee Day</t>
  </si>
  <si>
    <t xml:space="preserve">Domino's Pizza</t>
  </si>
  <si>
    <t xml:space="preserve">Subway</t>
  </si>
  <si>
    <t xml:space="preserve">Green Chick Chop</t>
  </si>
  <si>
    <t xml:space="preserve">McDonald's</t>
  </si>
  <si>
    <t xml:space="preserve">Keventers</t>
  </si>
  <si>
    <t xml:space="preserve">Pizza Hut</t>
  </si>
  <si>
    <t xml:space="preserve">Giani</t>
  </si>
  <si>
    <t xml:space="preserve">Baskin Robbins</t>
  </si>
  <si>
    <t xml:space="preserve">Barbeque Nation</t>
  </si>
  <si>
    <t xml:space="preserve">Dunkin' Donuts</t>
  </si>
  <si>
    <t xml:space="preserve">Giani's</t>
  </si>
  <si>
    <t xml:space="preserve">Barista</t>
  </si>
  <si>
    <t xml:space="preserve">Pind Balluchi</t>
  </si>
  <si>
    <t xml:space="preserve">Costa Coffee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</si>
</sst>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E40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5F5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3 Cuisines by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'L1-Task1 Top Cuisines'!C3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'L1-Task1 Top Cuisines'!$B$4:$B$6</c:f>
              <c:strCache>
                <c:ptCount val="3"/>
                <c:pt idx="0">
                  <c:v>North Indian</c:v>
                </c:pt>
                <c:pt idx="1">
                  <c:v>Chinese</c:v>
                </c:pt>
                <c:pt idx="2">
                  <c:v>Fast Food</c:v>
                </c:pt>
              </c:strCache>
            </c:strRef>
          </c:cat>
          <c:val>
            <c:numRef>
              <c:f>'L1-Task1 Top Cuisines'!$C$4:$C$6</c:f>
              <c:numCache>
                <c:formatCode>General</c:formatCode>
                <c:ptCount val="3"/>
                <c:pt idx="0">
                  <c:v>3960</c:v>
                </c:pt>
                <c:pt idx="1">
                  <c:v>2735</c:v>
                </c:pt>
                <c:pt idx="2">
                  <c:v>1986</c:v>
                </c:pt>
              </c:numCache>
            </c:numRef>
          </c:val>
        </c:ser>
        <c:gapWidth val="150"/>
        <c:overlap val="0"/>
        <c:axId val="67202201"/>
        <c:axId val="6011149"/>
      </c:barChart>
      <c:catAx>
        <c:axId val="672022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Cuisine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1149"/>
        <c:crosses val="autoZero"/>
        <c:auto val="1"/>
        <c:lblAlgn val="ctr"/>
        <c:lblOffset val="100"/>
        <c:noMultiLvlLbl val="0"/>
      </c:catAx>
      <c:valAx>
        <c:axId val="6011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02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Cities - Restaurant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'L1-Task2 City Analysis'!B8</c:f>
              <c:strCache>
                <c:ptCount val="1"/>
                <c:pt idx="0">
                  <c:v>No. of Restaurants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'L1-Task2 City Analysis'!$A$9:$A$18</c:f>
              <c:strCache>
                <c:ptCount val="10"/>
                <c:pt idx="0">
                  <c:v>New Delhi</c:v>
                </c:pt>
                <c:pt idx="1">
                  <c:v>Gurgaon</c:v>
                </c:pt>
                <c:pt idx="2">
                  <c:v>Noida</c:v>
                </c:pt>
                <c:pt idx="3">
                  <c:v>Faridabad</c:v>
                </c:pt>
                <c:pt idx="4">
                  <c:v>Ghaziabad</c:v>
                </c:pt>
                <c:pt idx="5">
                  <c:v>Ahmedabad</c:v>
                </c:pt>
                <c:pt idx="6">
                  <c:v>Amritsar</c:v>
                </c:pt>
                <c:pt idx="7">
                  <c:v>Bhubaneshwar</c:v>
                </c:pt>
                <c:pt idx="8">
                  <c:v>Guwahati</c:v>
                </c:pt>
                <c:pt idx="9">
                  <c:v>Lucknow</c:v>
                </c:pt>
              </c:strCache>
            </c:strRef>
          </c:cat>
          <c:val>
            <c:numRef>
              <c:f>'L1-Task2 City Analysis'!$B$9:$B$18</c:f>
              <c:numCache>
                <c:formatCode>General</c:formatCode>
                <c:ptCount val="10"/>
                <c:pt idx="0">
                  <c:v>5473</c:v>
                </c:pt>
                <c:pt idx="1">
                  <c:v>1118</c:v>
                </c:pt>
                <c:pt idx="2">
                  <c:v>1080</c:v>
                </c:pt>
                <c:pt idx="3">
                  <c:v>251</c:v>
                </c:pt>
                <c:pt idx="4">
                  <c:v>25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</c:ser>
        <c:gapWidth val="150"/>
        <c:overlap val="0"/>
        <c:axId val="13493911"/>
        <c:axId val="2672408"/>
      </c:barChart>
      <c:catAx>
        <c:axId val="13493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2408"/>
        <c:crosses val="autoZero"/>
        <c:auto val="1"/>
        <c:lblAlgn val="ctr"/>
        <c:lblOffset val="100"/>
        <c:noMultiLvlLbl val="0"/>
      </c:catAx>
      <c:valAx>
        <c:axId val="2672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939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Price Range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'L1-Task3 Price Range'!C3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'L1-Task3 Price Range'!$B$4:$B$7</c:f>
              <c:strCache>
                <c:ptCount val="4"/>
                <c:pt idx="0">
                  <c:v>Budget (1)</c:v>
                </c:pt>
                <c:pt idx="1">
                  <c:v>Moderate (2)</c:v>
                </c:pt>
                <c:pt idx="2">
                  <c:v>Expensive (3)</c:v>
                </c:pt>
                <c:pt idx="3">
                  <c:v>Very Expensive (4)</c:v>
                </c:pt>
              </c:strCache>
            </c:strRef>
          </c:cat>
          <c:val>
            <c:numRef>
              <c:f>'L1-Task3 Price Range'!$C$4:$C$7</c:f>
              <c:numCache>
                <c:formatCode>General</c:formatCode>
                <c:ptCount val="4"/>
                <c:pt idx="0">
                  <c:v>4444</c:v>
                </c:pt>
                <c:pt idx="1">
                  <c:v>3113</c:v>
                </c:pt>
                <c:pt idx="2">
                  <c:v>1408</c:v>
                </c:pt>
                <c:pt idx="3">
                  <c:v>586</c:v>
                </c:pt>
              </c:numCache>
            </c:numRef>
          </c:val>
        </c:ser>
        <c:gapWidth val="150"/>
        <c:overlap val="0"/>
        <c:axId val="6258045"/>
        <c:axId val="49502234"/>
      </c:barChart>
      <c:catAx>
        <c:axId val="62580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02234"/>
        <c:crosses val="autoZero"/>
        <c:auto val="1"/>
        <c:lblAlgn val="ctr"/>
        <c:lblOffset val="100"/>
        <c:noMultiLvlLbl val="0"/>
      </c:catAx>
      <c:valAx>
        <c:axId val="495022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Restaurants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80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Rating: With vs Without Online Delivery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'L1-Task4 Online Delivery'!D3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'L1-Task4 Online Delivery'!$A$4:$A$5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'L1-Task4 Online Delivery'!$D$4:$D$5</c:f>
              <c:numCache>
                <c:formatCode>General</c:formatCode>
                <c:ptCount val="2"/>
                <c:pt idx="0">
                  <c:v>2.47</c:v>
                </c:pt>
                <c:pt idx="1">
                  <c:v>3.25</c:v>
                </c:pt>
              </c:numCache>
            </c:numRef>
          </c:val>
        </c:ser>
        <c:gapWidth val="150"/>
        <c:overlap val="0"/>
        <c:axId val="76256999"/>
        <c:axId val="19894666"/>
      </c:barChart>
      <c:catAx>
        <c:axId val="76256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94666"/>
        <c:crosses val="autoZero"/>
        <c:auto val="1"/>
        <c:lblAlgn val="ctr"/>
        <c:lblOffset val="100"/>
        <c:noMultiLvlLbl val="0"/>
      </c:catAx>
      <c:valAx>
        <c:axId val="198946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569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'L2-Task1 Ratings'!B5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'L2-Task1 Ratings'!$A$6:$A$10</c:f>
              <c:strCache>
                <c:ptCount val="5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</c:strCache>
            </c:strRef>
          </c:cat>
          <c:val>
            <c:numRef>
              <c:f>'L2-Task1 Ratings'!$B$6:$B$10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1891</c:v>
                </c:pt>
                <c:pt idx="3">
                  <c:v>4388</c:v>
                </c:pt>
                <c:pt idx="4">
                  <c:v>1114</c:v>
                </c:pt>
              </c:numCache>
            </c:numRef>
          </c:val>
        </c:ser>
        <c:gapWidth val="150"/>
        <c:overlap val="0"/>
        <c:axId val="80943870"/>
        <c:axId val="57972758"/>
      </c:barChart>
      <c:catAx>
        <c:axId val="809438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72758"/>
        <c:crosses val="autoZero"/>
        <c:auto val="1"/>
        <c:lblAlgn val="ctr"/>
        <c:lblOffset val="100"/>
        <c:noMultiLvlLbl val="0"/>
      </c:catAx>
      <c:valAx>
        <c:axId val="57972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Restaurants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438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Restaurant Chains by Outlets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'L2-Task4 Chains'!C5</c:f>
              <c:strCache>
                <c:ptCount val="1"/>
                <c:pt idx="0">
                  <c:v>Outlets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'L2-Task4 Chains'!$B$6:$B$20</c:f>
              <c:strCache>
                <c:ptCount val="15"/>
                <c:pt idx="0">
                  <c:v>Cafe Coffee Day</c:v>
                </c:pt>
                <c:pt idx="1">
                  <c:v>Domino's Pizza</c:v>
                </c:pt>
                <c:pt idx="2">
                  <c:v>Subway</c:v>
                </c:pt>
                <c:pt idx="3">
                  <c:v>Green Chick Chop</c:v>
                </c:pt>
                <c:pt idx="4">
                  <c:v>McDonald's</c:v>
                </c:pt>
                <c:pt idx="5">
                  <c:v>Keventers</c:v>
                </c:pt>
                <c:pt idx="6">
                  <c:v>Pizza Hut</c:v>
                </c:pt>
                <c:pt idx="7">
                  <c:v>Giani</c:v>
                </c:pt>
                <c:pt idx="8">
                  <c:v>Baskin Robbins</c:v>
                </c:pt>
                <c:pt idx="9">
                  <c:v>Barbeque Nation</c:v>
                </c:pt>
                <c:pt idx="10">
                  <c:v>Dunkin' Donuts</c:v>
                </c:pt>
                <c:pt idx="11">
                  <c:v>Giani's</c:v>
                </c:pt>
                <c:pt idx="12">
                  <c:v>Barista</c:v>
                </c:pt>
                <c:pt idx="13">
                  <c:v>Pind Balluchi</c:v>
                </c:pt>
                <c:pt idx="14">
                  <c:v>Costa Coffee</c:v>
                </c:pt>
              </c:strCache>
            </c:strRef>
          </c:cat>
          <c:val>
            <c:numRef>
              <c:f>'L2-Task4 Chains'!$C$6:$C$20</c:f>
              <c:numCache>
                <c:formatCode>General</c:formatCode>
                <c:ptCount val="15"/>
                <c:pt idx="0">
                  <c:v>83</c:v>
                </c:pt>
                <c:pt idx="1">
                  <c:v>79</c:v>
                </c:pt>
                <c:pt idx="2">
                  <c:v>63</c:v>
                </c:pt>
                <c:pt idx="3">
                  <c:v>51</c:v>
                </c:pt>
                <c:pt idx="4">
                  <c:v>48</c:v>
                </c:pt>
                <c:pt idx="5">
                  <c:v>34</c:v>
                </c:pt>
                <c:pt idx="6">
                  <c:v>30</c:v>
                </c:pt>
                <c:pt idx="7">
                  <c:v>29</c:v>
                </c:pt>
                <c:pt idx="8">
                  <c:v>28</c:v>
                </c:pt>
                <c:pt idx="9">
                  <c:v>26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</c:ser>
        <c:gapWidth val="150"/>
        <c:overlap val="0"/>
        <c:axId val="95746334"/>
        <c:axId val="57588083"/>
      </c:barChart>
      <c:catAx>
        <c:axId val="957463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88083"/>
        <c:crosses val="autoZero"/>
        <c:auto val="1"/>
        <c:lblAlgn val="ctr"/>
        <c:lblOffset val="100"/>
        <c:noMultiLvlLbl val="0"/>
      </c:catAx>
      <c:valAx>
        <c:axId val="57588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Outlets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463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4840560" y="3524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16</xdr:col>
      <xdr:colOff>581400</xdr:colOff>
      <xdr:row>25</xdr:row>
      <xdr:rowOff>107640</xdr:rowOff>
    </xdr:to>
    <xdr:graphicFrame>
      <xdr:nvGraphicFramePr>
        <xdr:cNvPr id="1" name="Chart 1"/>
        <xdr:cNvGraphicFramePr/>
      </xdr:nvGraphicFramePr>
      <xdr:xfrm>
        <a:off x="4840560" y="35244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5263560" y="3524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14</xdr:col>
      <xdr:colOff>255960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4840560" y="35244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14</xdr:col>
      <xdr:colOff>364680</xdr:colOff>
      <xdr:row>25</xdr:row>
      <xdr:rowOff>128520</xdr:rowOff>
    </xdr:to>
    <xdr:graphicFrame>
      <xdr:nvGraphicFramePr>
        <xdr:cNvPr id="4" name="Chart 1"/>
        <xdr:cNvGraphicFramePr/>
      </xdr:nvGraphicFramePr>
      <xdr:xfrm>
        <a:off x="3924360" y="7333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18</xdr:col>
      <xdr:colOff>581760</xdr:colOff>
      <xdr:row>29</xdr:row>
      <xdr:rowOff>86400</xdr:rowOff>
    </xdr:to>
    <xdr:graphicFrame>
      <xdr:nvGraphicFramePr>
        <xdr:cNvPr id="5" name="Chart 1"/>
        <xdr:cNvGraphicFramePr/>
      </xdr:nvGraphicFramePr>
      <xdr:xfrm>
        <a:off x="5686560" y="7333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n">
        <v>1</v>
      </c>
      <c r="B4" s="3" t="s">
        <v>5</v>
      </c>
      <c r="C4" s="3" t="n">
        <v>3960</v>
      </c>
      <c r="D4" s="4" t="n">
        <f aca="false">C4/9551</f>
        <v>0.414616270547587</v>
      </c>
    </row>
    <row r="5" customFormat="false" ht="15" hidden="false" customHeight="false" outlineLevel="0" collapsed="false">
      <c r="A5" s="5" t="n">
        <v>2</v>
      </c>
      <c r="B5" s="5" t="s">
        <v>6</v>
      </c>
      <c r="C5" s="5" t="n">
        <v>2735</v>
      </c>
      <c r="D5" s="6" t="n">
        <f aca="false">C5/9551</f>
        <v>0.28635744948173</v>
      </c>
    </row>
    <row r="6" customFormat="false" ht="15" hidden="false" customHeight="false" outlineLevel="0" collapsed="false">
      <c r="A6" s="3" t="n">
        <v>3</v>
      </c>
      <c r="B6" s="3" t="s">
        <v>7</v>
      </c>
      <c r="C6" s="3" t="n">
        <v>1986</v>
      </c>
      <c r="D6" s="4" t="n">
        <f aca="false">C6/9551</f>
        <v>0.20793634174432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  <col collapsed="false" customWidth="true" hidden="false" outlineLevel="0" max="3" min="3" style="0" width="15"/>
  </cols>
  <sheetData>
    <row r="1" customFormat="false" ht="27.75" hidden="false" customHeight="true" outlineLevel="0" collapsed="false">
      <c r="A1" s="1" t="s">
        <v>8</v>
      </c>
      <c r="B1" s="1"/>
      <c r="C1" s="1"/>
      <c r="D1" s="1"/>
    </row>
    <row r="3" customFormat="false" ht="15" hidden="false" customHeight="false" outlineLevel="0" collapsed="false">
      <c r="A3" s="7" t="s">
        <v>9</v>
      </c>
      <c r="B3" s="8" t="s">
        <v>10</v>
      </c>
    </row>
    <row r="4" customFormat="false" ht="15" hidden="false" customHeight="false" outlineLevel="0" collapsed="false">
      <c r="A4" s="7" t="s">
        <v>11</v>
      </c>
      <c r="B4" s="0" t="n">
        <v>5473</v>
      </c>
    </row>
    <row r="5" customFormat="false" ht="15" hidden="false" customHeight="false" outlineLevel="0" collapsed="false">
      <c r="A5" s="7" t="s">
        <v>12</v>
      </c>
      <c r="B5" s="8" t="s">
        <v>13</v>
      </c>
    </row>
    <row r="6" customFormat="false" ht="15" hidden="false" customHeight="false" outlineLevel="0" collapsed="false">
      <c r="A6" s="7" t="s">
        <v>14</v>
      </c>
      <c r="B6" s="0" t="n">
        <v>4.9</v>
      </c>
    </row>
    <row r="8" customFormat="false" ht="15" hidden="false" customHeight="false" outlineLevel="0" collapsed="false">
      <c r="A8" s="2" t="s">
        <v>15</v>
      </c>
      <c r="B8" s="2" t="s">
        <v>16</v>
      </c>
      <c r="C8" s="2" t="s">
        <v>17</v>
      </c>
    </row>
    <row r="9" customFormat="false" ht="15" hidden="false" customHeight="false" outlineLevel="0" collapsed="false">
      <c r="A9" s="5" t="s">
        <v>10</v>
      </c>
      <c r="B9" s="5" t="n">
        <v>5473</v>
      </c>
      <c r="C9" s="5" t="n">
        <v>2.44</v>
      </c>
    </row>
    <row r="10" customFormat="false" ht="15" hidden="false" customHeight="false" outlineLevel="0" collapsed="false">
      <c r="A10" s="3" t="s">
        <v>18</v>
      </c>
      <c r="B10" s="3" t="n">
        <v>1118</v>
      </c>
      <c r="C10" s="3" t="n">
        <v>2.65</v>
      </c>
    </row>
    <row r="11" customFormat="false" ht="15" hidden="false" customHeight="false" outlineLevel="0" collapsed="false">
      <c r="A11" s="5" t="s">
        <v>19</v>
      </c>
      <c r="B11" s="5" t="n">
        <v>1080</v>
      </c>
      <c r="C11" s="5" t="n">
        <v>2.04</v>
      </c>
    </row>
    <row r="12" customFormat="false" ht="15" hidden="false" customHeight="false" outlineLevel="0" collapsed="false">
      <c r="A12" s="3" t="s">
        <v>20</v>
      </c>
      <c r="B12" s="3" t="n">
        <v>251</v>
      </c>
      <c r="C12" s="3" t="n">
        <v>1.87</v>
      </c>
    </row>
    <row r="13" customFormat="false" ht="15" hidden="false" customHeight="false" outlineLevel="0" collapsed="false">
      <c r="A13" s="5" t="s">
        <v>21</v>
      </c>
      <c r="B13" s="5" t="n">
        <v>25</v>
      </c>
      <c r="C13" s="5" t="n">
        <v>2.85</v>
      </c>
    </row>
    <row r="14" customFormat="false" ht="15" hidden="false" customHeight="false" outlineLevel="0" collapsed="false">
      <c r="A14" s="3" t="s">
        <v>22</v>
      </c>
      <c r="B14" s="3" t="n">
        <v>21</v>
      </c>
      <c r="C14" s="3" t="n">
        <v>4.16</v>
      </c>
    </row>
    <row r="15" customFormat="false" ht="15" hidden="false" customHeight="false" outlineLevel="0" collapsed="false">
      <c r="A15" s="5" t="s">
        <v>23</v>
      </c>
      <c r="B15" s="5" t="n">
        <v>21</v>
      </c>
      <c r="C15" s="5" t="n">
        <v>3.69</v>
      </c>
    </row>
    <row r="16" customFormat="false" ht="15" hidden="false" customHeight="false" outlineLevel="0" collapsed="false">
      <c r="A16" s="3" t="s">
        <v>24</v>
      </c>
      <c r="B16" s="3" t="n">
        <v>21</v>
      </c>
      <c r="C16" s="3" t="n">
        <v>3.98</v>
      </c>
    </row>
    <row r="17" customFormat="false" ht="15" hidden="false" customHeight="false" outlineLevel="0" collapsed="false">
      <c r="A17" s="5" t="s">
        <v>25</v>
      </c>
      <c r="B17" s="5" t="n">
        <v>21</v>
      </c>
      <c r="C17" s="5" t="n">
        <v>4.19</v>
      </c>
    </row>
    <row r="18" customFormat="false" ht="15" hidden="false" customHeight="false" outlineLevel="0" collapsed="false">
      <c r="A18" s="3" t="s">
        <v>26</v>
      </c>
      <c r="B18" s="3" t="n">
        <v>21</v>
      </c>
      <c r="C18" s="3" t="n">
        <v>4.2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27</v>
      </c>
      <c r="B1" s="1"/>
      <c r="C1" s="1"/>
      <c r="D1" s="1"/>
    </row>
    <row r="3" customFormat="false" ht="15" hidden="false" customHeight="false" outlineLevel="0" collapsed="false">
      <c r="A3" s="2" t="s">
        <v>28</v>
      </c>
      <c r="B3" s="2" t="s">
        <v>29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n">
        <v>1</v>
      </c>
      <c r="B4" s="3" t="s">
        <v>30</v>
      </c>
      <c r="C4" s="3" t="n">
        <v>4444</v>
      </c>
      <c r="D4" s="4" t="n">
        <f aca="false">C4/9551</f>
        <v>0.465291592503403</v>
      </c>
    </row>
    <row r="5" customFormat="false" ht="15" hidden="false" customHeight="false" outlineLevel="0" collapsed="false">
      <c r="A5" s="5" t="n">
        <v>2</v>
      </c>
      <c r="B5" s="5" t="s">
        <v>31</v>
      </c>
      <c r="C5" s="5" t="n">
        <v>3113</v>
      </c>
      <c r="D5" s="6" t="n">
        <f aca="false">C5/9551</f>
        <v>0.325934457124908</v>
      </c>
    </row>
    <row r="6" customFormat="false" ht="15" hidden="false" customHeight="false" outlineLevel="0" collapsed="false">
      <c r="A6" s="3" t="n">
        <v>3</v>
      </c>
      <c r="B6" s="3" t="s">
        <v>32</v>
      </c>
      <c r="C6" s="3" t="n">
        <v>1408</v>
      </c>
      <c r="D6" s="4" t="n">
        <f aca="false">C6/9551</f>
        <v>0.14741911841692</v>
      </c>
    </row>
    <row r="7" customFormat="false" ht="15" hidden="false" customHeight="false" outlineLevel="0" collapsed="false">
      <c r="A7" s="5" t="n">
        <v>4</v>
      </c>
      <c r="B7" s="5" t="s">
        <v>33</v>
      </c>
      <c r="C7" s="5" t="n">
        <v>586</v>
      </c>
      <c r="D7" s="6" t="n">
        <f aca="false">C7/9551</f>
        <v>0.0613548319547691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5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</row>
    <row r="3" customFormat="false" ht="15" hidden="false" customHeight="false" outlineLevel="0" collapsed="false">
      <c r="A3" s="2" t="s">
        <v>35</v>
      </c>
      <c r="B3" s="2" t="s">
        <v>3</v>
      </c>
      <c r="C3" s="2" t="s">
        <v>36</v>
      </c>
      <c r="D3" s="2" t="s">
        <v>17</v>
      </c>
    </row>
    <row r="4" customFormat="false" ht="15" hidden="false" customHeight="false" outlineLevel="0" collapsed="false">
      <c r="A4" s="3" t="s">
        <v>37</v>
      </c>
      <c r="B4" s="3" t="n">
        <v>7100</v>
      </c>
      <c r="C4" s="4" t="n">
        <f aca="false">B4/9551</f>
        <v>0.743377656789865</v>
      </c>
      <c r="D4" s="3" t="n">
        <v>2.47</v>
      </c>
    </row>
    <row r="5" customFormat="false" ht="15" hidden="false" customHeight="false" outlineLevel="0" collapsed="false">
      <c r="A5" s="5" t="s">
        <v>38</v>
      </c>
      <c r="B5" s="5" t="n">
        <v>2451</v>
      </c>
      <c r="C5" s="6" t="n">
        <f aca="false">B5/9551</f>
        <v>0.256622343210135</v>
      </c>
      <c r="D5" s="5" t="n">
        <v>3.25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20"/>
  </cols>
  <sheetData>
    <row r="1" customFormat="false" ht="27.75" hidden="false" customHeight="true" outlineLevel="0" collapsed="false">
      <c r="A1" s="1" t="s">
        <v>39</v>
      </c>
      <c r="B1" s="1"/>
      <c r="C1" s="1"/>
      <c r="D1" s="1"/>
    </row>
    <row r="3" customFormat="false" ht="15" hidden="false" customHeight="false" outlineLevel="0" collapsed="false">
      <c r="A3" s="7" t="s">
        <v>40</v>
      </c>
      <c r="B3" s="0" t="n">
        <v>156.91</v>
      </c>
    </row>
    <row r="5" customFormat="false" ht="15" hidden="false" customHeight="false" outlineLevel="0" collapsed="false">
      <c r="A5" s="2" t="s">
        <v>41</v>
      </c>
      <c r="B5" s="2" t="s">
        <v>3</v>
      </c>
      <c r="C5" s="2" t="s">
        <v>4</v>
      </c>
    </row>
    <row r="6" customFormat="false" ht="15" hidden="false" customHeight="false" outlineLevel="0" collapsed="false">
      <c r="A6" s="3" t="s">
        <v>42</v>
      </c>
      <c r="B6" s="3" t="n">
        <v>0</v>
      </c>
      <c r="C6" s="4" t="n">
        <f aca="false">B6/9551</f>
        <v>0</v>
      </c>
    </row>
    <row r="7" customFormat="false" ht="15" hidden="false" customHeight="false" outlineLevel="0" collapsed="false">
      <c r="A7" s="5" t="s">
        <v>43</v>
      </c>
      <c r="B7" s="5" t="n">
        <v>10</v>
      </c>
      <c r="C7" s="6" t="n">
        <f aca="false">B7/9551</f>
        <v>0.00104701078421108</v>
      </c>
    </row>
    <row r="8" customFormat="false" ht="15" hidden="false" customHeight="false" outlineLevel="0" collapsed="false">
      <c r="A8" s="3" t="s">
        <v>44</v>
      </c>
      <c r="B8" s="3" t="n">
        <v>1891</v>
      </c>
      <c r="C8" s="4" t="n">
        <f aca="false">B8/9551</f>
        <v>0.197989739294315</v>
      </c>
    </row>
    <row r="9" customFormat="false" ht="15" hidden="false" customHeight="false" outlineLevel="0" collapsed="false">
      <c r="A9" s="5" t="s">
        <v>45</v>
      </c>
      <c r="B9" s="5" t="n">
        <v>4388</v>
      </c>
      <c r="C9" s="6" t="n">
        <f aca="false">B9/9551</f>
        <v>0.459428332111821</v>
      </c>
    </row>
    <row r="10" customFormat="false" ht="15" hidden="false" customHeight="false" outlineLevel="0" collapsed="false">
      <c r="A10" s="3" t="s">
        <v>46</v>
      </c>
      <c r="B10" s="3" t="n">
        <v>1114</v>
      </c>
      <c r="C10" s="4" t="n">
        <f aca="false">B10/9551</f>
        <v>0.116637001361114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0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1" t="s">
        <v>47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48</v>
      </c>
      <c r="C3" s="2" t="s">
        <v>3</v>
      </c>
      <c r="D3" s="2" t="s">
        <v>17</v>
      </c>
    </row>
    <row r="4" customFormat="false" ht="15" hidden="false" customHeight="false" outlineLevel="0" collapsed="false">
      <c r="A4" s="3" t="n">
        <v>1</v>
      </c>
      <c r="B4" s="3" t="s">
        <v>5</v>
      </c>
      <c r="C4" s="3" t="n">
        <v>936</v>
      </c>
      <c r="D4" s="3" t="n">
        <v>1.67</v>
      </c>
    </row>
    <row r="5" customFormat="false" ht="15" hidden="false" customHeight="false" outlineLevel="0" collapsed="false">
      <c r="A5" s="5" t="n">
        <v>2</v>
      </c>
      <c r="B5" s="5" t="s">
        <v>49</v>
      </c>
      <c r="C5" s="5" t="n">
        <v>511</v>
      </c>
      <c r="D5" s="5" t="n">
        <v>2.42</v>
      </c>
    </row>
    <row r="6" customFormat="false" ht="15" hidden="false" customHeight="false" outlineLevel="0" collapsed="false">
      <c r="A6" s="3" t="n">
        <v>3</v>
      </c>
      <c r="B6" s="3" t="s">
        <v>6</v>
      </c>
      <c r="C6" s="3" t="n">
        <v>354</v>
      </c>
      <c r="D6" s="3" t="n">
        <v>2.04</v>
      </c>
    </row>
    <row r="7" customFormat="false" ht="15" hidden="false" customHeight="false" outlineLevel="0" collapsed="false">
      <c r="A7" s="5" t="n">
        <v>4</v>
      </c>
      <c r="B7" s="5" t="s">
        <v>7</v>
      </c>
      <c r="C7" s="5" t="n">
        <v>354</v>
      </c>
      <c r="D7" s="5" t="n">
        <v>2.12</v>
      </c>
    </row>
    <row r="8" customFormat="false" ht="15" hidden="false" customHeight="false" outlineLevel="0" collapsed="false">
      <c r="A8" s="3" t="n">
        <v>5</v>
      </c>
      <c r="B8" s="3" t="s">
        <v>50</v>
      </c>
      <c r="C8" s="3" t="n">
        <v>334</v>
      </c>
      <c r="D8" s="3" t="n">
        <v>2.89</v>
      </c>
    </row>
    <row r="9" customFormat="false" ht="15" hidden="false" customHeight="false" outlineLevel="0" collapsed="false">
      <c r="A9" s="5" t="n">
        <v>6</v>
      </c>
      <c r="B9" s="5" t="s">
        <v>51</v>
      </c>
      <c r="C9" s="5" t="n">
        <v>299</v>
      </c>
      <c r="D9" s="5" t="n">
        <v>2.89</v>
      </c>
    </row>
    <row r="10" customFormat="false" ht="15" hidden="false" customHeight="false" outlineLevel="0" collapsed="false">
      <c r="A10" s="3" t="n">
        <v>7</v>
      </c>
      <c r="B10" s="3" t="s">
        <v>52</v>
      </c>
      <c r="C10" s="3" t="n">
        <v>218</v>
      </c>
      <c r="D10" s="3" t="n">
        <v>1.92</v>
      </c>
    </row>
    <row r="11" customFormat="false" ht="15" hidden="false" customHeight="false" outlineLevel="0" collapsed="false">
      <c r="A11" s="5" t="n">
        <v>8</v>
      </c>
      <c r="B11" s="5" t="s">
        <v>53</v>
      </c>
      <c r="C11" s="5" t="n">
        <v>197</v>
      </c>
      <c r="D11" s="5" t="n">
        <v>2.57</v>
      </c>
    </row>
    <row r="12" customFormat="false" ht="15" hidden="false" customHeight="false" outlineLevel="0" collapsed="false">
      <c r="A12" s="3" t="n">
        <v>9</v>
      </c>
      <c r="B12" s="3" t="s">
        <v>54</v>
      </c>
      <c r="C12" s="3" t="n">
        <v>170</v>
      </c>
      <c r="D12" s="3" t="n">
        <v>2.32</v>
      </c>
    </row>
    <row r="13" customFormat="false" ht="15" hidden="false" customHeight="false" outlineLevel="0" collapsed="false">
      <c r="A13" s="5" t="n">
        <v>10</v>
      </c>
      <c r="B13" s="5" t="s">
        <v>55</v>
      </c>
      <c r="C13" s="5" t="n">
        <v>149</v>
      </c>
      <c r="D13" s="5" t="n">
        <v>2.16</v>
      </c>
    </row>
    <row r="14" customFormat="false" ht="15" hidden="false" customHeight="false" outlineLevel="0" collapsed="false">
      <c r="A14" s="3" t="n">
        <v>11</v>
      </c>
      <c r="B14" s="3" t="s">
        <v>56</v>
      </c>
      <c r="C14" s="3" t="n">
        <v>131</v>
      </c>
      <c r="D14" s="3" t="n">
        <v>2.63</v>
      </c>
    </row>
    <row r="15" customFormat="false" ht="15" hidden="false" customHeight="false" outlineLevel="0" collapsed="false">
      <c r="A15" s="5" t="n">
        <v>12</v>
      </c>
      <c r="B15" s="5" t="s">
        <v>57</v>
      </c>
      <c r="C15" s="5" t="n">
        <v>118</v>
      </c>
      <c r="D15" s="5" t="n">
        <v>2.06</v>
      </c>
    </row>
    <row r="16" customFormat="false" ht="15" hidden="false" customHeight="false" outlineLevel="0" collapsed="false">
      <c r="A16" s="3" t="n">
        <v>13</v>
      </c>
      <c r="B16" s="3" t="s">
        <v>58</v>
      </c>
      <c r="C16" s="3" t="n">
        <v>116</v>
      </c>
      <c r="D16" s="3" t="n">
        <v>1.89</v>
      </c>
    </row>
    <row r="17" customFormat="false" ht="15" hidden="false" customHeight="false" outlineLevel="0" collapsed="false">
      <c r="A17" s="5" t="n">
        <v>14</v>
      </c>
      <c r="B17" s="5" t="s">
        <v>59</v>
      </c>
      <c r="C17" s="5" t="n">
        <v>112</v>
      </c>
      <c r="D17" s="5" t="n">
        <v>2.37</v>
      </c>
    </row>
    <row r="18" customFormat="false" ht="15" hidden="false" customHeight="false" outlineLevel="0" collapsed="false">
      <c r="A18" s="3" t="n">
        <v>15</v>
      </c>
      <c r="B18" s="3" t="s">
        <v>60</v>
      </c>
      <c r="C18" s="3" t="n">
        <v>108</v>
      </c>
      <c r="D18" s="3" t="n">
        <v>2.4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61</v>
      </c>
      <c r="B1" s="1"/>
      <c r="C1" s="1"/>
      <c r="D1" s="1"/>
      <c r="E1" s="1"/>
    </row>
    <row r="3" customFormat="false" ht="15" hidden="false" customHeight="false" outlineLevel="0" collapsed="false">
      <c r="A3" s="7" t="s">
        <v>62</v>
      </c>
    </row>
    <row r="5" customFormat="false" ht="15" hidden="false" customHeight="false" outlineLevel="0" collapsed="false">
      <c r="A5" s="2" t="s">
        <v>1</v>
      </c>
      <c r="B5" s="2" t="s">
        <v>63</v>
      </c>
      <c r="C5" s="2" t="s">
        <v>64</v>
      </c>
      <c r="D5" s="2" t="s">
        <v>17</v>
      </c>
      <c r="E5" s="2" t="s">
        <v>65</v>
      </c>
    </row>
    <row r="6" customFormat="false" ht="15" hidden="false" customHeight="false" outlineLevel="0" collapsed="false">
      <c r="A6" s="3" t="n">
        <v>1</v>
      </c>
      <c r="B6" s="3" t="s">
        <v>66</v>
      </c>
      <c r="C6" s="3" t="n">
        <v>83</v>
      </c>
      <c r="D6" s="3" t="n">
        <v>2.42</v>
      </c>
      <c r="E6" s="3" t="n">
        <v>2428</v>
      </c>
    </row>
    <row r="7" customFormat="false" ht="15" hidden="false" customHeight="false" outlineLevel="0" collapsed="false">
      <c r="A7" s="5" t="n">
        <v>2</v>
      </c>
      <c r="B7" s="5" t="s">
        <v>67</v>
      </c>
      <c r="C7" s="5" t="n">
        <v>79</v>
      </c>
      <c r="D7" s="5" t="n">
        <v>2.74</v>
      </c>
      <c r="E7" s="5" t="n">
        <v>6643</v>
      </c>
    </row>
    <row r="8" customFormat="false" ht="15" hidden="false" customHeight="false" outlineLevel="0" collapsed="false">
      <c r="A8" s="3" t="n">
        <v>3</v>
      </c>
      <c r="B8" s="3" t="s">
        <v>68</v>
      </c>
      <c r="C8" s="3" t="n">
        <v>63</v>
      </c>
      <c r="D8" s="3" t="n">
        <v>2.91</v>
      </c>
      <c r="E8" s="3" t="n">
        <v>6124</v>
      </c>
    </row>
    <row r="9" customFormat="false" ht="15" hidden="false" customHeight="false" outlineLevel="0" collapsed="false">
      <c r="A9" s="5" t="n">
        <v>4</v>
      </c>
      <c r="B9" s="5" t="s">
        <v>69</v>
      </c>
      <c r="C9" s="5" t="n">
        <v>51</v>
      </c>
      <c r="D9" s="5" t="n">
        <v>2.67</v>
      </c>
      <c r="E9" s="5" t="n">
        <v>964</v>
      </c>
    </row>
    <row r="10" customFormat="false" ht="15" hidden="false" customHeight="false" outlineLevel="0" collapsed="false">
      <c r="A10" s="3" t="n">
        <v>5</v>
      </c>
      <c r="B10" s="3" t="s">
        <v>70</v>
      </c>
      <c r="C10" s="3" t="n">
        <v>48</v>
      </c>
      <c r="D10" s="3" t="n">
        <v>3.34</v>
      </c>
      <c r="E10" s="3" t="n">
        <v>5291</v>
      </c>
    </row>
    <row r="11" customFormat="false" ht="15" hidden="false" customHeight="false" outlineLevel="0" collapsed="false">
      <c r="A11" s="5" t="n">
        <v>6</v>
      </c>
      <c r="B11" s="5" t="s">
        <v>71</v>
      </c>
      <c r="C11" s="5" t="n">
        <v>34</v>
      </c>
      <c r="D11" s="5" t="n">
        <v>2.87</v>
      </c>
      <c r="E11" s="5" t="n">
        <v>1263</v>
      </c>
    </row>
    <row r="12" customFormat="false" ht="15" hidden="false" customHeight="false" outlineLevel="0" collapsed="false">
      <c r="A12" s="3" t="n">
        <v>7</v>
      </c>
      <c r="B12" s="3" t="s">
        <v>72</v>
      </c>
      <c r="C12" s="3" t="n">
        <v>30</v>
      </c>
      <c r="D12" s="3" t="n">
        <v>3.32</v>
      </c>
      <c r="E12" s="3" t="n">
        <v>4961</v>
      </c>
    </row>
    <row r="13" customFormat="false" ht="15" hidden="false" customHeight="false" outlineLevel="0" collapsed="false">
      <c r="A13" s="5" t="n">
        <v>8</v>
      </c>
      <c r="B13" s="5" t="s">
        <v>73</v>
      </c>
      <c r="C13" s="5" t="n">
        <v>29</v>
      </c>
      <c r="D13" s="5" t="n">
        <v>2.69</v>
      </c>
      <c r="E13" s="5" t="n">
        <v>854</v>
      </c>
    </row>
    <row r="14" customFormat="false" ht="15" hidden="false" customHeight="false" outlineLevel="0" collapsed="false">
      <c r="A14" s="3" t="n">
        <v>9</v>
      </c>
      <c r="B14" s="3" t="s">
        <v>74</v>
      </c>
      <c r="C14" s="3" t="n">
        <v>28</v>
      </c>
      <c r="D14" s="3" t="n">
        <v>1.86</v>
      </c>
      <c r="E14" s="3" t="n">
        <v>428</v>
      </c>
    </row>
    <row r="15" customFormat="false" ht="15" hidden="false" customHeight="false" outlineLevel="0" collapsed="false">
      <c r="A15" s="5" t="n">
        <v>10</v>
      </c>
      <c r="B15" s="5" t="s">
        <v>75</v>
      </c>
      <c r="C15" s="5" t="n">
        <v>26</v>
      </c>
      <c r="D15" s="5" t="n">
        <v>4.35</v>
      </c>
      <c r="E15" s="5" t="n">
        <v>28142</v>
      </c>
    </row>
    <row r="16" customFormat="false" ht="15" hidden="false" customHeight="false" outlineLevel="0" collapsed="false">
      <c r="A16" s="3" t="n">
        <v>11</v>
      </c>
      <c r="B16" s="3" t="s">
        <v>76</v>
      </c>
      <c r="C16" s="3" t="n">
        <v>22</v>
      </c>
      <c r="D16" s="3" t="n">
        <v>3.14</v>
      </c>
      <c r="E16" s="3" t="n">
        <v>5974</v>
      </c>
    </row>
    <row r="17" customFormat="false" ht="15" hidden="false" customHeight="false" outlineLevel="0" collapsed="false">
      <c r="A17" s="5" t="n">
        <v>12</v>
      </c>
      <c r="B17" s="5" t="s">
        <v>77</v>
      </c>
      <c r="C17" s="5" t="n">
        <v>22</v>
      </c>
      <c r="D17" s="5" t="n">
        <v>2.78</v>
      </c>
      <c r="E17" s="5" t="n">
        <v>1150</v>
      </c>
    </row>
    <row r="18" customFormat="false" ht="15" hidden="false" customHeight="false" outlineLevel="0" collapsed="false">
      <c r="A18" s="3" t="n">
        <v>13</v>
      </c>
      <c r="B18" s="3" t="s">
        <v>78</v>
      </c>
      <c r="C18" s="3" t="n">
        <v>22</v>
      </c>
      <c r="D18" s="3" t="n">
        <v>3.07</v>
      </c>
      <c r="E18" s="3" t="n">
        <v>815</v>
      </c>
    </row>
    <row r="19" customFormat="false" ht="15" hidden="false" customHeight="false" outlineLevel="0" collapsed="false">
      <c r="A19" s="5" t="n">
        <v>14</v>
      </c>
      <c r="B19" s="5" t="s">
        <v>79</v>
      </c>
      <c r="C19" s="5" t="n">
        <v>20</v>
      </c>
      <c r="D19" s="5" t="n">
        <v>2.63</v>
      </c>
      <c r="E19" s="5" t="n">
        <v>5582</v>
      </c>
    </row>
    <row r="20" customFormat="false" ht="15" hidden="false" customHeight="false" outlineLevel="0" collapsed="false">
      <c r="A20" s="3" t="n">
        <v>15</v>
      </c>
      <c r="B20" s="3" t="s">
        <v>80</v>
      </c>
      <c r="C20" s="3" t="n">
        <v>20</v>
      </c>
      <c r="D20" s="3" t="n">
        <v>2.42</v>
      </c>
      <c r="E20" s="3" t="n">
        <v>861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2026-06-14T06:11:51Z</dcterms:created>
  <dc:creator>openpyxl</dc:creator>
  <dc:description/>
  <dc:language>en-US</dc:language>
  <cp:lastModifiedBy/>
  <dcterms:modified xsi:type="dcterms:W3CDTF">2026-06-14T06:11:58Z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